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03- CLOUD\06--Pricing\"/>
    </mc:Choice>
  </mc:AlternateContent>
  <xr:revisionPtr revIDLastSave="0" documentId="8_{56C74E85-4815-4412-85CB-28D8B1BFE16C}" xr6:coauthVersionLast="47" xr6:coauthVersionMax="47" xr10:uidLastSave="{00000000-0000-0000-0000-000000000000}"/>
  <bookViews>
    <workbookView xWindow="-110" yWindow="-110" windowWidth="25420" windowHeight="16300" xr2:uid="{796E86D4-C5AC-46BA-9B2F-812C47C8337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76" i="1" l="1"/>
  <c r="K67" i="1"/>
  <c r="K34" i="1"/>
  <c r="K27" i="1"/>
</calcChain>
</file>

<file path=xl/sharedStrings.xml><?xml version="1.0" encoding="utf-8"?>
<sst xmlns="http://schemas.openxmlformats.org/spreadsheetml/2006/main" count="233" uniqueCount="139">
  <si>
    <r>
      <rPr>
        <b/>
        <sz val="10"/>
        <color rgb="FFFF0000"/>
        <rFont val="Arial"/>
        <family val="2"/>
      </rPr>
      <t>Standard Professional Service:</t>
    </r>
    <r>
      <rPr>
        <sz val="10"/>
        <color theme="1"/>
        <rFont val="Arial"/>
        <family val="2"/>
      </rPr>
      <t xml:space="preserve">
Porvided by </t>
    </r>
    <r>
      <rPr>
        <b/>
        <sz val="10"/>
        <color theme="1"/>
        <rFont val="Arial"/>
        <family val="2"/>
      </rPr>
      <t>junior engineer</t>
    </r>
    <r>
      <rPr>
        <sz val="10"/>
        <color theme="1"/>
        <rFont val="Arial"/>
        <family val="2"/>
      </rPr>
      <t xml:space="preserve">. Often referred to as a cloud migration. Migrate existing applications to the National Cloud. Each application is migrated as is to reap the benefits of the cloud without the risk and cost of any code changes.
1. Requirement survey and analysis
2. Assignment of original architecture(VM flavors/
3. Risk Assessment
4. LLD for network
5. LLD for Application/DB
6. Service Migration PIP
7. The National Cloud Infra provisioning including but not limited to VPC, VMs, ACL/SG, subnets, and other services (e.g. Monitoring, Load balancers)
8. Migration solution confirmation by doing testing on the National Cloud
9. Migration activities from Customer DC to the National Cloud including Host migration, DB migration, Storage migration, infra provision for new build
10. Cut over solution and active support for cutover
</t>
    </r>
  </si>
  <si>
    <t>NO</t>
    <phoneticPr fontId="1" type="noConversion"/>
  </si>
  <si>
    <t>Service Category</t>
  </si>
  <si>
    <t>Service Item</t>
    <phoneticPr fontId="1" type="noConversion"/>
  </si>
  <si>
    <t>Qty</t>
    <phoneticPr fontId="1" type="noConversion"/>
  </si>
  <si>
    <t>Unit</t>
  </si>
  <si>
    <t>Work Load
(Man Day）</t>
  </si>
  <si>
    <t>Price/Man Day (OMR)</t>
  </si>
  <si>
    <t>Service Unit Price(OMR)</t>
  </si>
  <si>
    <t>Qty Count</t>
  </si>
  <si>
    <t>Price （OMR）</t>
  </si>
  <si>
    <t>Remark</t>
  </si>
  <si>
    <t>Tenant Landing Zone &amp; Service provision</t>
  </si>
  <si>
    <t>Connection Service</t>
  </si>
  <si>
    <t>Direct Connect Service low level design</t>
  </si>
  <si>
    <t>Per connection</t>
  </si>
  <si>
    <t>on-premise DC to cloud tenant,including VPN though internet</t>
  </si>
  <si>
    <t>Direct Connect Service implementation</t>
  </si>
  <si>
    <t>Landing Zone creation</t>
  </si>
  <si>
    <r>
      <t xml:space="preserve">basic IAAS landing zone </t>
    </r>
    <r>
      <rPr>
        <b/>
        <sz val="10"/>
        <color rgb="FF000000"/>
        <rFont val="Arial"/>
        <family val="2"/>
      </rPr>
      <t>low level design</t>
    </r>
    <r>
      <rPr>
        <sz val="10"/>
        <color rgb="FF000000"/>
        <rFont val="Arial"/>
        <family val="2"/>
      </rPr>
      <t xml:space="preserve">
(IAM/Network/Security/Resource Provision/Audit)  
- </t>
    </r>
    <r>
      <rPr>
        <b/>
        <sz val="10"/>
        <color rgb="FF000000"/>
        <rFont val="Arial"/>
        <family val="2"/>
      </rPr>
      <t>Start package</t>
    </r>
  </si>
  <si>
    <t>20 mandays for 5 VPCs</t>
  </si>
  <si>
    <t>1.only Huawei standard service
2.including IAAS (VPC/NAT/ELB/VPN/ECS/BMS/AS/DeH/IMS/ EVS/SFS/OBS/RDS/etc.)
3.including security service(WAF/HSS/CGS/etc.)
4.including audit service(CTS/CES/LTS/etc.)
5.including servey</t>
  </si>
  <si>
    <r>
      <t xml:space="preserve">basic IAAS landing zone </t>
    </r>
    <r>
      <rPr>
        <b/>
        <sz val="10"/>
        <color rgb="FF000000"/>
        <rFont val="Arial"/>
        <family val="2"/>
      </rPr>
      <t>low level design</t>
    </r>
    <r>
      <rPr>
        <sz val="10"/>
        <color rgb="FF000000"/>
        <rFont val="Arial"/>
        <family val="2"/>
      </rPr>
      <t xml:space="preserve">
(IAM/Network/Security/Audit//Resource Provision)  
- </t>
    </r>
    <r>
      <rPr>
        <b/>
        <sz val="10"/>
        <color rgb="FF000000"/>
        <rFont val="Arial"/>
        <family val="2"/>
      </rPr>
      <t>incremental</t>
    </r>
  </si>
  <si>
    <t>Per time</t>
  </si>
  <si>
    <r>
      <t>basic IAAS landing zone</t>
    </r>
    <r>
      <rPr>
        <b/>
        <sz val="10"/>
        <color rgb="FF000000"/>
        <rFont val="Arial"/>
        <family val="2"/>
      </rPr>
      <t xml:space="preserve"> implementation</t>
    </r>
    <r>
      <rPr>
        <sz val="10"/>
        <color rgb="FF000000"/>
        <rFont val="Arial"/>
        <family val="2"/>
      </rPr>
      <t xml:space="preserve">
(IAM/Network/Security/Resource Provision/Audit)  
- </t>
    </r>
    <r>
      <rPr>
        <b/>
        <sz val="10"/>
        <color rgb="FF000000"/>
        <rFont val="Arial"/>
        <family val="2"/>
      </rPr>
      <t>Start package</t>
    </r>
  </si>
  <si>
    <r>
      <t>basic IAAS landing zone</t>
    </r>
    <r>
      <rPr>
        <b/>
        <sz val="10"/>
        <color rgb="FF000000"/>
        <rFont val="Arial"/>
        <family val="2"/>
      </rPr>
      <t xml:space="preserve"> implementation</t>
    </r>
    <r>
      <rPr>
        <sz val="10"/>
        <color rgb="FF000000"/>
        <rFont val="Arial"/>
        <family val="2"/>
      </rPr>
      <t xml:space="preserve">
(IAM/Network/Security/Resource Provision/Audit)  
- </t>
    </r>
    <r>
      <rPr>
        <b/>
        <sz val="10"/>
        <color rgb="FF000000"/>
        <rFont val="Arial"/>
        <family val="2"/>
      </rPr>
      <t>incremental</t>
    </r>
  </si>
  <si>
    <t>Container IAAS provision</t>
  </si>
  <si>
    <t>basic CCE provision low level design</t>
  </si>
  <si>
    <t>Per Cluster Per time</t>
  </si>
  <si>
    <t>1.only Huawei standard CCE service
2.including audit service for CCE
3.including security service for CCE</t>
  </si>
  <si>
    <t>baisc CCE provision implementation</t>
  </si>
  <si>
    <t>DB IAAS provision</t>
  </si>
  <si>
    <t>basic DB service provision low level design</t>
  </si>
  <si>
    <t>Per instance per time</t>
  </si>
  <si>
    <t>1.only Huawei standard service
2.including DB service(RDS for mysql/ RDS for SQLserver/ DDS/ etc.)
3.including audit service(DBSS)
4.including security service(DEW)</t>
  </si>
  <si>
    <t>basic DB service provision implementation</t>
  </si>
  <si>
    <t>Tenant migration Services</t>
  </si>
  <si>
    <t>Host migration</t>
  </si>
  <si>
    <t>VM Host Migration (start package)</t>
  </si>
  <si>
    <t>12 mandays package for 18 VMs</t>
  </si>
  <si>
    <t>1.18 VMs package for 12 mandays
2.SMS/IMG copy
3.including EVS data</t>
  </si>
  <si>
    <t>VM Host Migration (incremental)</t>
  </si>
  <si>
    <t>per VM</t>
  </si>
  <si>
    <t>Incremental for scenirio more than 18 VMs</t>
  </si>
  <si>
    <t>Container migration support</t>
  </si>
  <si>
    <t>Cloud Native container Migration support - small scale (vcpu&lt;200)</t>
  </si>
  <si>
    <t>per Time</t>
  </si>
  <si>
    <t>1.image migration to SWR
2.configure migration</t>
  </si>
  <si>
    <t>Cloud Native container Migration support - medium scale (200≤vcpu&lt;500)</t>
  </si>
  <si>
    <t>Cloud Native container Migration support -large scale (500≤vcpu)</t>
  </si>
  <si>
    <t>Storage migration</t>
  </si>
  <si>
    <t>Storage Data Migration (start package)</t>
  </si>
  <si>
    <t>300TB</t>
  </si>
  <si>
    <t>1. 300 TB package for 12 mandays
2.Including OBS/EVS/SFS/etc.</t>
  </si>
  <si>
    <t>Storage Data Migration(incremental)</t>
  </si>
  <si>
    <t>per TB
(Start from 12 mandays 300TB)</t>
  </si>
  <si>
    <t>Incremental for scenirio more than 300 TB</t>
  </si>
  <si>
    <t>DB data migration</t>
  </si>
  <si>
    <t>Homogeneous migration for Database (start package,instances&lt;=3)</t>
  </si>
  <si>
    <t>3 instances for 12 mandays</t>
  </si>
  <si>
    <t>1.only Huawei standard service (RDS for mysql/RDS for PostGRE/etc.)
2.number of instances&lt;3
3.Oracle DB is not included</t>
  </si>
  <si>
    <t>Homogeneous migration for Database (incremental,3&lt;number of instances&lt;=50 instances)</t>
  </si>
  <si>
    <t>per Instance</t>
  </si>
  <si>
    <t>1.only Huawei standard service (RDS for mysql/RDS for PostGRE/etc.)
2.3&lt;number of instances&lt;50 instances
3.Oracle DB is not included</t>
  </si>
  <si>
    <t>Homogeneous migration for Database (incremental,50&lt;number of instances)</t>
  </si>
  <si>
    <t>1.only Huawei standard service (RDS for mysql/RDS for PostGRE/etc.)
2.50&lt;number of instances
3.Oracle DB is not included</t>
  </si>
  <si>
    <t>Total Price
(OMR)</t>
  </si>
  <si>
    <t>Tenant integrated O&amp;M Services</t>
  </si>
  <si>
    <t>Tenant O&amp;M</t>
  </si>
  <si>
    <t>O&amp;M consultation</t>
  </si>
  <si>
    <t>per tenant per time</t>
  </si>
  <si>
    <t>-</t>
  </si>
  <si>
    <t>1.Based on ITIL
2.provide the HLD of all service process</t>
  </si>
  <si>
    <t>O&amp;M plan&amp; design &amp;implementation</t>
  </si>
  <si>
    <t>Need to be evaluated</t>
  </si>
  <si>
    <t>1.Based on ITIL
2.implementation of based on requirement</t>
  </si>
  <si>
    <t>Management service</t>
  </si>
  <si>
    <t>Managed Services Tenant TAM Assistant Service Junior Engineer</t>
  </si>
  <si>
    <t>per man month</t>
    <phoneticPr fontId="0" type="noConversion"/>
  </si>
  <si>
    <t>Managed Services Tenant TAM Assistant Service Senior Engineer</t>
  </si>
  <si>
    <r>
      <rPr>
        <b/>
        <sz val="10"/>
        <color rgb="FFFF0000"/>
        <rFont val="Arial"/>
        <family val="2"/>
      </rPr>
      <t xml:space="preserve">High-level Professional Service: </t>
    </r>
    <r>
      <rPr>
        <sz val="10"/>
        <color theme="1"/>
        <rFont val="Arial"/>
        <family val="2"/>
      </rPr>
      <t xml:space="preserve">
Provided by </t>
    </r>
    <r>
      <rPr>
        <b/>
        <sz val="10"/>
        <color theme="1"/>
        <rFont val="Arial"/>
        <family val="2"/>
      </rPr>
      <t>Senior engineer</t>
    </r>
    <r>
      <rPr>
        <sz val="10"/>
        <color theme="1"/>
        <rFont val="Arial"/>
        <family val="2"/>
      </rPr>
      <t>. Often referred to as refactoring requires minimal changes to applications so that they can connect to the National Cloud platform as a service (PaaS) and use cloud offerings. Or modifying and extending application functionality and the code base to optimize the application to use the cloud native feature, for example: container or microservice, etc.</t>
    </r>
  </si>
  <si>
    <t>Price/Man Day (OMR)</t>
    <phoneticPr fontId="1" type="noConversion"/>
  </si>
  <si>
    <t>Service Unit Price(OMR)</t>
    <phoneticPr fontId="1" type="noConversion"/>
  </si>
  <si>
    <r>
      <t xml:space="preserve">Price </t>
    </r>
    <r>
      <rPr>
        <b/>
        <sz val="10"/>
        <color rgb="FF000000"/>
        <rFont val="Microsoft YaHei"/>
        <family val="2"/>
        <charset val="134"/>
      </rPr>
      <t>（OMR）</t>
    </r>
  </si>
  <si>
    <t>DB consultant</t>
  </si>
  <si>
    <r>
      <t>Homogeneous migration for Database consultation(</t>
    </r>
    <r>
      <rPr>
        <b/>
        <sz val="10"/>
        <color rgb="FF000000"/>
        <rFont val="Arial"/>
        <family val="2"/>
      </rPr>
      <t>start package</t>
    </r>
    <r>
      <rPr>
        <sz val="10"/>
        <color rgb="FF000000"/>
        <rFont val="Arial"/>
        <family val="2"/>
      </rPr>
      <t>,number of instances≤3)</t>
    </r>
  </si>
  <si>
    <t>3 instances for 3 days</t>
  </si>
  <si>
    <t>1.only Huawei standard service
2.consultation for DB migration, hands-on work doesn’t include</t>
  </si>
  <si>
    <r>
      <t>Homogeneous migration for Database consultation (</t>
    </r>
    <r>
      <rPr>
        <b/>
        <sz val="10"/>
        <color rgb="FF000000"/>
        <rFont val="Arial"/>
        <family val="2"/>
      </rPr>
      <t>for incremental</t>
    </r>
    <r>
      <rPr>
        <sz val="10"/>
        <color rgb="FF000000"/>
        <rFont val="Arial"/>
        <family val="2"/>
      </rPr>
      <t>)</t>
    </r>
  </si>
  <si>
    <t>Per instance</t>
  </si>
  <si>
    <r>
      <t>Heterogeneous migration for database consultation (</t>
    </r>
    <r>
      <rPr>
        <b/>
        <sz val="10"/>
        <rFont val="Arial"/>
        <family val="2"/>
      </rPr>
      <t>start package</t>
    </r>
    <r>
      <rPr>
        <sz val="10"/>
        <rFont val="Arial"/>
        <family val="2"/>
      </rPr>
      <t>,number of instances≤3)</t>
    </r>
  </si>
  <si>
    <t>2 instances for 10 days</t>
  </si>
  <si>
    <r>
      <t>Heterogeneous migration for database consultation (</t>
    </r>
    <r>
      <rPr>
        <b/>
        <sz val="10"/>
        <rFont val="Arial"/>
        <family val="2"/>
      </rPr>
      <t>for incremental</t>
    </r>
    <r>
      <rPr>
        <sz val="10"/>
        <rFont val="Arial"/>
        <family val="2"/>
      </rPr>
      <t>)</t>
    </r>
  </si>
  <si>
    <t>Bigdata consultant</t>
  </si>
  <si>
    <r>
      <t xml:space="preserve">Bigdata migration consultation
- </t>
    </r>
    <r>
      <rPr>
        <b/>
        <sz val="10"/>
        <color rgb="FF000000"/>
        <rFont val="Arial"/>
        <family val="2"/>
      </rPr>
      <t xml:space="preserve">small scale </t>
    </r>
    <r>
      <rPr>
        <sz val="10"/>
        <color rgb="FF000000"/>
        <rFont val="Arial"/>
        <family val="2"/>
      </rPr>
      <t>(per cluster&lt;100 core)</t>
    </r>
  </si>
  <si>
    <t>1.Bigdata migration survey and design
2.hands on works not included</t>
  </si>
  <si>
    <r>
      <t>Bigdata migration consultation
-</t>
    </r>
    <r>
      <rPr>
        <b/>
        <sz val="10"/>
        <color rgb="FF000000"/>
        <rFont val="Arial"/>
        <family val="2"/>
      </rPr>
      <t xml:space="preserve"> large scale</t>
    </r>
    <r>
      <rPr>
        <sz val="10"/>
        <color rgb="FF000000"/>
        <rFont val="Arial"/>
        <family val="2"/>
      </rPr>
      <t xml:space="preserve"> (100 core≤per cluster)</t>
    </r>
  </si>
  <si>
    <t>Bigdata IAAS provision</t>
  </si>
  <si>
    <r>
      <t xml:space="preserve">Bigdata service provision low level design
- </t>
    </r>
    <r>
      <rPr>
        <b/>
        <sz val="10"/>
        <color rgb="FF000000"/>
        <rFont val="Arial"/>
        <family val="2"/>
      </rPr>
      <t>small scale</t>
    </r>
    <r>
      <rPr>
        <sz val="10"/>
        <color rgb="FF000000"/>
        <rFont val="Arial"/>
        <family val="2"/>
      </rPr>
      <t xml:space="preserve"> (per cluster&lt;100 core)</t>
    </r>
  </si>
  <si>
    <t>Per cluster per time</t>
  </si>
  <si>
    <t>1.only Huawei standard service
2.including Bigdata services(MRS/DWS/etc.)</t>
  </si>
  <si>
    <r>
      <t xml:space="preserve">Bigdata service provision low level design
- </t>
    </r>
    <r>
      <rPr>
        <b/>
        <sz val="10"/>
        <color rgb="FF000000"/>
        <rFont val="Arial"/>
        <family val="2"/>
      </rPr>
      <t>large scale</t>
    </r>
    <r>
      <rPr>
        <sz val="10"/>
        <color rgb="FF000000"/>
        <rFont val="Arial"/>
        <family val="2"/>
      </rPr>
      <t xml:space="preserve"> (100 core≤per cluster)</t>
    </r>
  </si>
  <si>
    <r>
      <t xml:space="preserve">Bigdata service provision implementation
- </t>
    </r>
    <r>
      <rPr>
        <b/>
        <sz val="10"/>
        <color rgb="FF000000"/>
        <rFont val="Arial"/>
        <family val="2"/>
      </rPr>
      <t>small scale</t>
    </r>
    <r>
      <rPr>
        <sz val="10"/>
        <color rgb="FF000000"/>
        <rFont val="Arial"/>
        <family val="2"/>
      </rPr>
      <t xml:space="preserve"> (per cluster&lt;100 core)</t>
    </r>
  </si>
  <si>
    <r>
      <t xml:space="preserve">Bigdata service provision implementation
- </t>
    </r>
    <r>
      <rPr>
        <b/>
        <sz val="10"/>
        <color rgb="FF000000"/>
        <rFont val="Arial"/>
        <family val="2"/>
      </rPr>
      <t xml:space="preserve">large scale </t>
    </r>
    <r>
      <rPr>
        <sz val="10"/>
        <color rgb="FF000000"/>
        <rFont val="Arial"/>
        <family val="2"/>
      </rPr>
      <t>(100 core≤per cluster)</t>
    </r>
  </si>
  <si>
    <t>Migration Services</t>
  </si>
  <si>
    <r>
      <t>VM Host Migration (</t>
    </r>
    <r>
      <rPr>
        <b/>
        <sz val="10"/>
        <color rgb="FF000000"/>
        <rFont val="Arial"/>
        <family val="2"/>
      </rPr>
      <t>start package</t>
    </r>
    <r>
      <rPr>
        <sz val="10"/>
        <color rgb="FF000000"/>
        <rFont val="Arial"/>
        <family val="2"/>
      </rPr>
      <t>)</t>
    </r>
  </si>
  <si>
    <r>
      <t>VM Host Migration (</t>
    </r>
    <r>
      <rPr>
        <b/>
        <sz val="10"/>
        <color rgb="FF000000"/>
        <rFont val="Arial"/>
        <family val="2"/>
      </rPr>
      <t>incremental</t>
    </r>
    <r>
      <rPr>
        <sz val="10"/>
        <color rgb="FF000000"/>
        <rFont val="Arial"/>
        <family val="2"/>
      </rPr>
      <t>)</t>
    </r>
  </si>
  <si>
    <t>Expert container migration</t>
  </si>
  <si>
    <r>
      <t xml:space="preserve">High level Cloud Native container Migration support - </t>
    </r>
    <r>
      <rPr>
        <b/>
        <sz val="10"/>
        <color rgb="FF000000"/>
        <rFont val="Arial"/>
        <family val="2"/>
      </rPr>
      <t>small scale</t>
    </r>
    <r>
      <rPr>
        <sz val="10"/>
        <color rgb="FF000000"/>
        <rFont val="Arial"/>
        <family val="2"/>
      </rPr>
      <t xml:space="preserve"> (vcpu&lt;200)</t>
    </r>
  </si>
  <si>
    <t xml:space="preserve">1.original image repo migrate to SWR
2.configure migration
3.business refactoring and tunning </t>
  </si>
  <si>
    <r>
      <t xml:space="preserve">High level Cloud Native container Migration support - </t>
    </r>
    <r>
      <rPr>
        <b/>
        <sz val="10"/>
        <color rgb="FF000000"/>
        <rFont val="Arial"/>
        <family val="2"/>
      </rPr>
      <t xml:space="preserve">medium scale </t>
    </r>
    <r>
      <rPr>
        <sz val="10"/>
        <color rgb="FF000000"/>
        <rFont val="Arial"/>
        <family val="2"/>
      </rPr>
      <t>(200≤vcpu&lt;500)</t>
    </r>
  </si>
  <si>
    <r>
      <t xml:space="preserve">High level Cloud Native container Migration support - </t>
    </r>
    <r>
      <rPr>
        <b/>
        <sz val="10"/>
        <color rgb="FF000000"/>
        <rFont val="Arial"/>
        <family val="2"/>
      </rPr>
      <t>large scale</t>
    </r>
    <r>
      <rPr>
        <sz val="10"/>
        <color rgb="FF000000"/>
        <rFont val="Arial"/>
        <family val="2"/>
      </rPr>
      <t xml:space="preserve"> (500≤vcpu)</t>
    </r>
  </si>
  <si>
    <t>Expert storage migration</t>
  </si>
  <si>
    <r>
      <t>Storage Data Migration (</t>
    </r>
    <r>
      <rPr>
        <b/>
        <sz val="10"/>
        <color rgb="FF000000"/>
        <rFont val="Arial"/>
        <family val="2"/>
      </rPr>
      <t>start package</t>
    </r>
    <r>
      <rPr>
        <sz val="10"/>
        <color rgb="FF000000"/>
        <rFont val="Arial"/>
        <family val="2"/>
      </rPr>
      <t>)</t>
    </r>
  </si>
  <si>
    <r>
      <t>Storage Data Migration (</t>
    </r>
    <r>
      <rPr>
        <b/>
        <sz val="10"/>
        <color rgb="FF000000"/>
        <rFont val="Arial"/>
        <family val="2"/>
      </rPr>
      <t>incremental</t>
    </r>
    <r>
      <rPr>
        <sz val="10"/>
        <color rgb="FF000000"/>
        <rFont val="Arial"/>
        <family val="2"/>
      </rPr>
      <t>)</t>
    </r>
  </si>
  <si>
    <r>
      <t>Heterogeneous migration for database (</t>
    </r>
    <r>
      <rPr>
        <b/>
        <sz val="10"/>
        <rFont val="Arial"/>
        <family val="2"/>
      </rPr>
      <t>start package</t>
    </r>
    <r>
      <rPr>
        <sz val="10"/>
        <rFont val="Arial"/>
        <family val="2"/>
      </rPr>
      <t>,number of instances&lt;=3)</t>
    </r>
  </si>
  <si>
    <t>2 instances for 40 mandays</t>
  </si>
  <si>
    <t>number of instances&lt;=3</t>
  </si>
  <si>
    <r>
      <t>Heterogeneous migration for database (</t>
    </r>
    <r>
      <rPr>
        <b/>
        <sz val="10"/>
        <rFont val="Arial"/>
        <family val="2"/>
      </rPr>
      <t>incremental</t>
    </r>
    <r>
      <rPr>
        <sz val="10"/>
        <rFont val="Arial"/>
        <family val="2"/>
      </rPr>
      <t>,3&lt;number of instances)</t>
    </r>
  </si>
  <si>
    <t>3&lt;number of instances</t>
  </si>
  <si>
    <t>Bigdata migration</t>
  </si>
  <si>
    <r>
      <t xml:space="preserve">Data Migration for Bigdata
- </t>
    </r>
    <r>
      <rPr>
        <b/>
        <sz val="10"/>
        <rFont val="Arial"/>
        <family val="2"/>
      </rPr>
      <t>small scale</t>
    </r>
    <r>
      <rPr>
        <sz val="10"/>
        <rFont val="Arial"/>
        <family val="2"/>
      </rPr>
      <t>(per cluster&lt;150 core)</t>
    </r>
  </si>
  <si>
    <t>per Components Cluster</t>
  </si>
  <si>
    <t>1.based on bandwidth，assupmtion is 500Mbps
2.including Inventory and incremental Data migartion
3.including data comparison and data comsistency check
4..including task verification and adaptation
5.including Double-run cutover
6.excluding application tunning or deployment.
8.excluding any development support.</t>
  </si>
  <si>
    <r>
      <t xml:space="preserve">Data Migration for Bigdata
- </t>
    </r>
    <r>
      <rPr>
        <b/>
        <sz val="10"/>
        <rFont val="Arial"/>
        <family val="2"/>
      </rPr>
      <t>large scale</t>
    </r>
    <r>
      <rPr>
        <sz val="10"/>
        <rFont val="Arial"/>
        <family val="2"/>
      </rPr>
      <t xml:space="preserve"> (150 core≤per cluster)</t>
    </r>
  </si>
  <si>
    <t>DR Services</t>
    <phoneticPr fontId="0" type="noConversion"/>
  </si>
  <si>
    <t>DR professional Service</t>
    <phoneticPr fontId="0" type="noConversion"/>
  </si>
  <si>
    <t>DR Drill professional Service</t>
    <phoneticPr fontId="0" type="noConversion"/>
  </si>
  <si>
    <t>Tenant Security Services</t>
  </si>
  <si>
    <t>Security assessment &amp; enhancement</t>
  </si>
  <si>
    <t xml:space="preserve">Tenant environment layer scan </t>
  </si>
  <si>
    <t>per time</t>
  </si>
  <si>
    <t>Application layer scan (based on domian name)</t>
  </si>
  <si>
    <t>Security monitor &amp; design &amp; response</t>
  </si>
  <si>
    <t>SOC service team - remote</t>
  </si>
  <si>
    <t>5*8</t>
  </si>
  <si>
    <t>one team per year</t>
  </si>
  <si>
    <t>SOC service team - onsite</t>
  </si>
  <si>
    <t>7*24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</si>
</sst>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1"/>
      <color theme="1"/>
      <name val="Calibri"/>
      <family val="2"/>
      <scheme val="minor"/>
    </font>
    <font>
      <sz val="10"/>
      <color theme="1"/>
      <name val="Arial"/>
      <family val="2"/>
    </font>
    <font>
      <b/>
      <sz val="10"/>
      <color rgb="FFFF0000"/>
      <name val="Arial"/>
      <family val="2"/>
    </font>
    <font>
      <b/>
      <sz val="10"/>
      <color theme="1"/>
      <name val="Arial"/>
      <family val="2"/>
    </font>
    <font>
      <b/>
      <sz val="10"/>
      <color rgb="FF000000"/>
      <name val="Arial"/>
      <family val="2"/>
    </font>
    <font>
      <sz val="10"/>
      <color rgb="FF000000"/>
      <name val="Arial"/>
      <family val="2"/>
    </font>
    <font>
      <sz val="10"/>
      <name val="Arial"/>
      <family val="2"/>
    </font>
    <font>
      <b/>
      <sz val="10"/>
      <name val="Arial"/>
      <family val="2"/>
    </font>
    <font>
      <b/>
      <sz val="10"/>
      <color rgb="FF000000"/>
      <name val="Microsoft YaHei"/>
      <family val="2"/>
      <charset val="134"/>
    </font>
  </fonts>
  <fills count="5">
    <fill>
      <patternFill patternType="none"/>
    </fill>
    <fill>
      <patternFill patternType="gray125"/>
    </fill>
    <fill>
      <patternFill patternType="solid">
        <fgColor rgb="FF00B0F0"/>
        <bgColor indexed="64"/>
      </patternFill>
    </fill>
    <fill>
      <patternFill patternType="solid">
        <fgColor theme="6" tint="0.79998168889431442"/>
        <bgColor indexed="64"/>
      </patternFill>
    </fill>
    <fill>
      <patternFill patternType="solid">
        <fgColor rgb="FFFFFF00"/>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indexed="64"/>
      </left>
      <right/>
      <top/>
      <bottom/>
      <diagonal/>
    </border>
    <border>
      <left/>
      <right style="thin">
        <color indexed="64"/>
      </right>
      <top/>
      <bottom/>
      <diagonal/>
    </border>
  </borders>
  <cellStyleXfs count="2">
    <xf numFmtId="0" fontId="0" fillId="0" borderId="0"/>
    <xf numFmtId="0" fontId="1" fillId="0" borderId="0"/>
  </cellStyleXfs>
  <cellXfs count="31">
    <xf numFmtId="0" fontId="0" fillId="0" borderId="0" xfId="0"/>
    <xf numFmtId="0" fontId="2" fillId="0" borderId="1" xfId="1" applyFont="1" applyBorder="1" applyAlignment="1">
      <alignment horizontal="left" vertical="top" wrapText="1"/>
    </xf>
    <xf numFmtId="0" fontId="2" fillId="0" borderId="0" xfId="1" applyFont="1"/>
    <xf numFmtId="0" fontId="5" fillId="2" borderId="1" xfId="1" applyFont="1" applyFill="1" applyBorder="1" applyAlignment="1">
      <alignment horizontal="center" vertical="center" wrapText="1"/>
    </xf>
    <xf numFmtId="0" fontId="5" fillId="3" borderId="1" xfId="1" applyFont="1" applyFill="1" applyBorder="1" applyAlignment="1">
      <alignment horizontal="left" vertical="center" wrapText="1"/>
    </xf>
    <xf numFmtId="0" fontId="6" fillId="0" borderId="2" xfId="1" applyFont="1" applyBorder="1" applyAlignment="1">
      <alignment horizontal="center" vertical="center" wrapText="1"/>
    </xf>
    <xf numFmtId="0" fontId="6" fillId="0" borderId="3" xfId="1" applyFont="1" applyBorder="1" applyAlignment="1">
      <alignment horizontal="left" vertical="center" wrapText="1"/>
    </xf>
    <xf numFmtId="0" fontId="6" fillId="0" borderId="3" xfId="1" applyFont="1" applyBorder="1" applyAlignment="1">
      <alignment horizontal="center" vertical="center" wrapText="1"/>
    </xf>
    <xf numFmtId="0" fontId="2" fillId="0" borderId="3" xfId="1" applyFont="1" applyBorder="1" applyAlignment="1">
      <alignment vertical="center"/>
    </xf>
    <xf numFmtId="0" fontId="2" fillId="0" borderId="3" xfId="1" applyFont="1" applyBorder="1" applyAlignment="1">
      <alignment vertical="center" wrapText="1"/>
    </xf>
    <xf numFmtId="0" fontId="6" fillId="0" borderId="3" xfId="1" applyFont="1" applyBorder="1" applyAlignment="1">
      <alignment horizontal="center" vertical="center" wrapText="1"/>
    </xf>
    <xf numFmtId="0" fontId="6" fillId="0" borderId="1" xfId="1" applyFont="1" applyBorder="1" applyAlignment="1">
      <alignment horizontal="left" vertical="center" wrapText="1"/>
    </xf>
    <xf numFmtId="0" fontId="6" fillId="0" borderId="1" xfId="1" applyFont="1" applyBorder="1" applyAlignment="1">
      <alignment horizontal="center" vertical="center" wrapText="1"/>
    </xf>
    <xf numFmtId="0" fontId="2" fillId="0" borderId="1" xfId="1" applyFont="1" applyBorder="1" applyAlignment="1">
      <alignment vertical="center"/>
    </xf>
    <xf numFmtId="0" fontId="2" fillId="0" borderId="1" xfId="1" applyFont="1" applyBorder="1" applyAlignment="1">
      <alignment vertical="center" wrapText="1"/>
    </xf>
    <xf numFmtId="0" fontId="6" fillId="0" borderId="4" xfId="1" applyFont="1" applyBorder="1" applyAlignment="1">
      <alignment horizontal="center" vertical="center" wrapText="1"/>
    </xf>
    <xf numFmtId="0" fontId="5" fillId="3" borderId="5" xfId="1" applyFont="1" applyFill="1" applyBorder="1" applyAlignment="1">
      <alignment horizontal="left" vertical="center" wrapText="1"/>
    </xf>
    <xf numFmtId="0" fontId="5" fillId="3" borderId="0" xfId="1" applyFont="1" applyFill="1" applyAlignment="1">
      <alignment horizontal="left" vertical="center" wrapText="1"/>
    </xf>
    <xf numFmtId="0" fontId="5" fillId="3" borderId="6" xfId="1" applyFont="1" applyFill="1" applyBorder="1" applyAlignment="1">
      <alignment horizontal="left" vertical="center" wrapText="1"/>
    </xf>
    <xf numFmtId="0" fontId="6" fillId="0" borderId="1" xfId="1" applyFont="1" applyBorder="1" applyAlignment="1">
      <alignment horizontal="center" vertical="center" wrapText="1"/>
    </xf>
    <xf numFmtId="0" fontId="7" fillId="0" borderId="1" xfId="1" applyFont="1" applyBorder="1" applyAlignment="1">
      <alignment vertical="center" wrapText="1"/>
    </xf>
    <xf numFmtId="4" fontId="7" fillId="0" borderId="1" xfId="1" applyNumberFormat="1" applyFont="1" applyBorder="1" applyAlignment="1">
      <alignment horizontal="center" vertical="center" wrapText="1"/>
    </xf>
    <xf numFmtId="0" fontId="2" fillId="0" borderId="1" xfId="1" applyFont="1" applyBorder="1"/>
    <xf numFmtId="0" fontId="8" fillId="4" borderId="1" xfId="1" applyFont="1" applyFill="1" applyBorder="1" applyAlignment="1">
      <alignment horizontal="center" vertical="center" wrapText="1"/>
    </xf>
    <xf numFmtId="0" fontId="2" fillId="0" borderId="0" xfId="1" applyFont="1" applyAlignment="1">
      <alignment wrapText="1"/>
    </xf>
    <xf numFmtId="0" fontId="6" fillId="0" borderId="1" xfId="1" applyFont="1" applyBorder="1" applyAlignment="1">
      <alignment horizontal="right" vertical="center" wrapText="1"/>
    </xf>
    <xf numFmtId="0" fontId="7" fillId="0" borderId="4" xfId="1" applyFont="1" applyBorder="1" applyAlignment="1">
      <alignment vertical="center" wrapText="1"/>
    </xf>
    <xf numFmtId="0" fontId="6" fillId="0" borderId="4" xfId="1" applyFont="1" applyBorder="1" applyAlignment="1">
      <alignment horizontal="center" vertical="center" wrapText="1"/>
    </xf>
    <xf numFmtId="4" fontId="7" fillId="0" borderId="4" xfId="1" applyNumberFormat="1" applyFont="1" applyBorder="1" applyAlignment="1">
      <alignment horizontal="center" vertical="center" wrapText="1"/>
    </xf>
    <xf numFmtId="0" fontId="2" fillId="0" borderId="4" xfId="1" applyFont="1" applyBorder="1" applyAlignment="1">
      <alignment vertical="center"/>
    </xf>
    <xf numFmtId="0" fontId="6" fillId="0" borderId="2" xfId="1" applyFont="1" applyBorder="1" applyAlignment="1">
      <alignment horizontal="center" vertical="center" wrapText="1"/>
    </xf>
  </cellXfs>
  <cellStyles count="2">
    <cellStyle name="Normal" xfId="0" builtinId="0"/>
    <cellStyle name="常规 4" xfId="1" xr:uid="{300987B7-26C9-458F-93B1-28E13280EE0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9044F-A52C-40DD-AB3C-A3CE094B9F15}">
  <dimension ref="B3:L76"/>
  <sheetViews>
    <sheetView tabSelected="1" workbookViewId="0">
      <selection activeCell="H57" sqref="H57"/>
    </sheetView>
  </sheetViews>
  <sheetFormatPr defaultColWidth="7.90625" defaultRowHeight="12.5" x14ac:dyDescent="0.25"/>
  <cols>
    <col min="1" max="1" width="7.90625" style="2"/>
    <col min="2" max="2" width="3.08984375" style="2" bestFit="1" customWidth="1"/>
    <col min="3" max="3" width="28.08984375" style="2" customWidth="1"/>
    <col min="4" max="4" width="43.1796875" style="2" customWidth="1"/>
    <col min="5" max="5" width="7.90625" style="2" bestFit="1"/>
    <col min="6" max="6" width="16.6328125" style="2" customWidth="1"/>
    <col min="7" max="7" width="11.36328125" style="2" customWidth="1"/>
    <col min="8" max="8" width="11.90625" style="2" bestFit="1" customWidth="1"/>
    <col min="9" max="9" width="11" style="2" bestFit="1" customWidth="1"/>
    <col min="10" max="10" width="15.36328125" style="2" customWidth="1"/>
    <col min="11" max="11" width="14.08984375" style="2" customWidth="1"/>
    <col min="12" max="12" width="46.08984375" style="24" customWidth="1"/>
    <col min="13" max="16384" width="7.90625" style="2"/>
  </cols>
  <sheetData>
    <row r="3" spans="2:12" x14ac:dyDescent="0.25">
      <c r="B3" s="1" t="s">
        <v>0</v>
      </c>
      <c r="C3" s="1"/>
      <c r="D3" s="1"/>
      <c r="E3" s="1"/>
      <c r="F3" s="1"/>
      <c r="G3" s="1"/>
      <c r="H3" s="1"/>
      <c r="I3" s="1"/>
      <c r="J3" s="1"/>
      <c r="K3" s="1"/>
      <c r="L3" s="1"/>
    </row>
    <row r="4" spans="2:12" ht="39" x14ac:dyDescent="0.25">
      <c r="B4" s="3" t="s">
        <v>1</v>
      </c>
      <c r="C4" s="3" t="s">
        <v>2</v>
      </c>
      <c r="D4" s="3" t="s">
        <v>3</v>
      </c>
      <c r="E4" s="3" t="s">
        <v>4</v>
      </c>
      <c r="F4" s="3" t="s">
        <v>5</v>
      </c>
      <c r="G4" s="3" t="s">
        <v>6</v>
      </c>
      <c r="H4" s="3" t="s">
        <v>7</v>
      </c>
      <c r="I4" s="3" t="s">
        <v>8</v>
      </c>
      <c r="J4" s="3" t="s">
        <v>9</v>
      </c>
      <c r="K4" s="3" t="s">
        <v>10</v>
      </c>
      <c r="L4" s="3" t="s">
        <v>11</v>
      </c>
    </row>
    <row r="5" spans="2:12" ht="13" x14ac:dyDescent="0.25">
      <c r="B5" s="4" t="s">
        <v>12</v>
      </c>
      <c r="C5" s="4"/>
      <c r="D5" s="4"/>
      <c r="E5" s="4"/>
      <c r="F5" s="4"/>
      <c r="G5" s="4"/>
      <c r="H5" s="4"/>
      <c r="I5" s="4"/>
      <c r="J5" s="4"/>
      <c r="K5" s="4"/>
      <c r="L5" s="4"/>
    </row>
    <row r="6" spans="2:12" ht="25" x14ac:dyDescent="0.25">
      <c r="B6" s="5">
        <v>1</v>
      </c>
      <c r="C6" s="5" t="s">
        <v>13</v>
      </c>
      <c r="D6" s="6" t="s">
        <v>14</v>
      </c>
      <c r="E6" s="7">
        <v>1</v>
      </c>
      <c r="F6" s="7" t="s">
        <v>15</v>
      </c>
      <c r="G6" s="7">
        <v>7</v>
      </c>
      <c r="H6" s="7"/>
      <c r="I6" s="7"/>
      <c r="J6" s="8"/>
      <c r="K6" s="8"/>
      <c r="L6" s="9" t="s">
        <v>16</v>
      </c>
    </row>
    <row r="7" spans="2:12" ht="25" x14ac:dyDescent="0.25">
      <c r="B7" s="10"/>
      <c r="C7" s="10"/>
      <c r="D7" s="11" t="s">
        <v>17</v>
      </c>
      <c r="E7" s="12">
        <v>1</v>
      </c>
      <c r="F7" s="12" t="s">
        <v>15</v>
      </c>
      <c r="G7" s="12">
        <v>4</v>
      </c>
      <c r="H7" s="12"/>
      <c r="I7" s="12"/>
      <c r="J7" s="13"/>
      <c r="K7" s="8"/>
      <c r="L7" s="14" t="s">
        <v>16</v>
      </c>
    </row>
    <row r="8" spans="2:12" ht="87.5" x14ac:dyDescent="0.25">
      <c r="B8" s="15">
        <v>2</v>
      </c>
      <c r="C8" s="15" t="s">
        <v>18</v>
      </c>
      <c r="D8" s="11" t="s">
        <v>19</v>
      </c>
      <c r="E8" s="12">
        <v>1</v>
      </c>
      <c r="F8" s="12" t="s">
        <v>20</v>
      </c>
      <c r="G8" s="12">
        <v>25</v>
      </c>
      <c r="H8" s="12"/>
      <c r="I8" s="12"/>
      <c r="J8" s="13"/>
      <c r="K8" s="8"/>
      <c r="L8" s="14" t="s">
        <v>21</v>
      </c>
    </row>
    <row r="9" spans="2:12" ht="87.5" x14ac:dyDescent="0.25">
      <c r="B9" s="5"/>
      <c r="C9" s="5"/>
      <c r="D9" s="11" t="s">
        <v>22</v>
      </c>
      <c r="E9" s="12">
        <v>1</v>
      </c>
      <c r="F9" s="12" t="s">
        <v>23</v>
      </c>
      <c r="G9" s="12">
        <v>2.5</v>
      </c>
      <c r="H9" s="12"/>
      <c r="I9" s="12"/>
      <c r="J9" s="13"/>
      <c r="K9" s="8"/>
      <c r="L9" s="14" t="s">
        <v>21</v>
      </c>
    </row>
    <row r="10" spans="2:12" ht="87.5" x14ac:dyDescent="0.25">
      <c r="B10" s="15">
        <v>3</v>
      </c>
      <c r="C10" s="5"/>
      <c r="D10" s="11" t="s">
        <v>24</v>
      </c>
      <c r="E10" s="12">
        <v>1</v>
      </c>
      <c r="F10" s="12" t="s">
        <v>20</v>
      </c>
      <c r="G10" s="12">
        <v>10</v>
      </c>
      <c r="H10" s="12"/>
      <c r="I10" s="12"/>
      <c r="J10" s="13"/>
      <c r="K10" s="8"/>
      <c r="L10" s="14" t="s">
        <v>21</v>
      </c>
    </row>
    <row r="11" spans="2:12" ht="87.5" x14ac:dyDescent="0.25">
      <c r="B11" s="5"/>
      <c r="C11" s="5"/>
      <c r="D11" s="11" t="s">
        <v>25</v>
      </c>
      <c r="E11" s="12">
        <v>1</v>
      </c>
      <c r="F11" s="12" t="s">
        <v>23</v>
      </c>
      <c r="G11" s="12">
        <v>1</v>
      </c>
      <c r="H11" s="12"/>
      <c r="I11" s="12"/>
      <c r="J11" s="13"/>
      <c r="K11" s="8"/>
      <c r="L11" s="14" t="s">
        <v>21</v>
      </c>
    </row>
    <row r="12" spans="2:12" ht="37.5" x14ac:dyDescent="0.25">
      <c r="B12" s="15">
        <v>4</v>
      </c>
      <c r="C12" s="15" t="s">
        <v>26</v>
      </c>
      <c r="D12" s="11" t="s">
        <v>27</v>
      </c>
      <c r="E12" s="12">
        <v>1</v>
      </c>
      <c r="F12" s="12" t="s">
        <v>28</v>
      </c>
      <c r="G12" s="12">
        <v>10</v>
      </c>
      <c r="H12" s="12"/>
      <c r="I12" s="12"/>
      <c r="J12" s="13"/>
      <c r="K12" s="8"/>
      <c r="L12" s="14" t="s">
        <v>29</v>
      </c>
    </row>
    <row r="13" spans="2:12" ht="37.5" x14ac:dyDescent="0.25">
      <c r="B13" s="10"/>
      <c r="C13" s="10"/>
      <c r="D13" s="11" t="s">
        <v>30</v>
      </c>
      <c r="E13" s="12">
        <v>1</v>
      </c>
      <c r="F13" s="12" t="s">
        <v>28</v>
      </c>
      <c r="G13" s="12">
        <v>2</v>
      </c>
      <c r="H13" s="12"/>
      <c r="I13" s="12"/>
      <c r="J13" s="13"/>
      <c r="K13" s="8"/>
      <c r="L13" s="14" t="s">
        <v>29</v>
      </c>
    </row>
    <row r="14" spans="2:12" ht="62.5" x14ac:dyDescent="0.25">
      <c r="B14" s="15">
        <v>5</v>
      </c>
      <c r="C14" s="15" t="s">
        <v>31</v>
      </c>
      <c r="D14" s="11" t="s">
        <v>32</v>
      </c>
      <c r="E14" s="12">
        <v>1</v>
      </c>
      <c r="F14" s="12" t="s">
        <v>33</v>
      </c>
      <c r="G14" s="12">
        <v>3</v>
      </c>
      <c r="H14" s="12"/>
      <c r="I14" s="12"/>
      <c r="J14" s="13"/>
      <c r="K14" s="8"/>
      <c r="L14" s="14" t="s">
        <v>34</v>
      </c>
    </row>
    <row r="15" spans="2:12" ht="62.5" x14ac:dyDescent="0.25">
      <c r="B15" s="10"/>
      <c r="C15" s="10"/>
      <c r="D15" s="11" t="s">
        <v>35</v>
      </c>
      <c r="E15" s="12">
        <v>1</v>
      </c>
      <c r="F15" s="12" t="s">
        <v>33</v>
      </c>
      <c r="G15" s="12">
        <v>1</v>
      </c>
      <c r="H15" s="12"/>
      <c r="I15" s="12"/>
      <c r="J15" s="13"/>
      <c r="K15" s="8"/>
      <c r="L15" s="14" t="s">
        <v>34</v>
      </c>
    </row>
    <row r="16" spans="2:12" ht="13" x14ac:dyDescent="0.25">
      <c r="B16" s="16" t="s">
        <v>36</v>
      </c>
      <c r="C16" s="17"/>
      <c r="D16" s="17"/>
      <c r="E16" s="17"/>
      <c r="F16" s="17"/>
      <c r="G16" s="17"/>
      <c r="H16" s="17"/>
      <c r="I16" s="17"/>
      <c r="J16" s="17"/>
      <c r="K16" s="17"/>
      <c r="L16" s="18"/>
    </row>
    <row r="17" spans="2:12" ht="37.5" x14ac:dyDescent="0.25">
      <c r="B17" s="15">
        <v>1</v>
      </c>
      <c r="C17" s="15" t="s">
        <v>37</v>
      </c>
      <c r="D17" s="11" t="s">
        <v>38</v>
      </c>
      <c r="E17" s="12">
        <v>1</v>
      </c>
      <c r="F17" s="12" t="s">
        <v>39</v>
      </c>
      <c r="G17" s="12">
        <v>12</v>
      </c>
      <c r="H17" s="12"/>
      <c r="I17" s="12"/>
      <c r="J17" s="13"/>
      <c r="K17" s="8"/>
      <c r="L17" s="14" t="s">
        <v>40</v>
      </c>
    </row>
    <row r="18" spans="2:12" x14ac:dyDescent="0.25">
      <c r="B18" s="10"/>
      <c r="C18" s="10"/>
      <c r="D18" s="11" t="s">
        <v>41</v>
      </c>
      <c r="E18" s="12">
        <v>1</v>
      </c>
      <c r="F18" s="12" t="s">
        <v>42</v>
      </c>
      <c r="G18" s="12">
        <v>0.5</v>
      </c>
      <c r="H18" s="12"/>
      <c r="I18" s="12"/>
      <c r="J18" s="13"/>
      <c r="K18" s="8"/>
      <c r="L18" s="14" t="s">
        <v>43</v>
      </c>
    </row>
    <row r="19" spans="2:12" ht="25" x14ac:dyDescent="0.25">
      <c r="B19" s="15">
        <v>2</v>
      </c>
      <c r="C19" s="15" t="s">
        <v>44</v>
      </c>
      <c r="D19" s="11" t="s">
        <v>45</v>
      </c>
      <c r="E19" s="12">
        <v>1</v>
      </c>
      <c r="F19" s="12" t="s">
        <v>46</v>
      </c>
      <c r="G19" s="12">
        <v>22</v>
      </c>
      <c r="H19" s="12"/>
      <c r="I19" s="12"/>
      <c r="J19" s="13"/>
      <c r="K19" s="8"/>
      <c r="L19" s="14" t="s">
        <v>47</v>
      </c>
    </row>
    <row r="20" spans="2:12" ht="25" x14ac:dyDescent="0.25">
      <c r="B20" s="5"/>
      <c r="C20" s="5"/>
      <c r="D20" s="11" t="s">
        <v>48</v>
      </c>
      <c r="E20" s="12">
        <v>1</v>
      </c>
      <c r="F20" s="12" t="s">
        <v>46</v>
      </c>
      <c r="G20" s="12">
        <v>40</v>
      </c>
      <c r="H20" s="12"/>
      <c r="I20" s="12"/>
      <c r="J20" s="13"/>
      <c r="K20" s="8"/>
      <c r="L20" s="14" t="s">
        <v>47</v>
      </c>
    </row>
    <row r="21" spans="2:12" ht="25" x14ac:dyDescent="0.25">
      <c r="B21" s="10"/>
      <c r="C21" s="10"/>
      <c r="D21" s="11" t="s">
        <v>49</v>
      </c>
      <c r="E21" s="12">
        <v>1</v>
      </c>
      <c r="F21" s="12" t="s">
        <v>46</v>
      </c>
      <c r="G21" s="12">
        <v>50</v>
      </c>
      <c r="H21" s="12"/>
      <c r="I21" s="12"/>
      <c r="J21" s="13"/>
      <c r="K21" s="8"/>
      <c r="L21" s="14" t="s">
        <v>47</v>
      </c>
    </row>
    <row r="22" spans="2:12" ht="25" x14ac:dyDescent="0.25">
      <c r="B22" s="15">
        <v>3</v>
      </c>
      <c r="C22" s="15" t="s">
        <v>50</v>
      </c>
      <c r="D22" s="11" t="s">
        <v>51</v>
      </c>
      <c r="E22" s="12">
        <v>1</v>
      </c>
      <c r="F22" s="12" t="s">
        <v>52</v>
      </c>
      <c r="G22" s="12">
        <v>12</v>
      </c>
      <c r="H22" s="12"/>
      <c r="I22" s="12"/>
      <c r="J22" s="13"/>
      <c r="K22" s="8"/>
      <c r="L22" s="14" t="s">
        <v>53</v>
      </c>
    </row>
    <row r="23" spans="2:12" ht="37.5" x14ac:dyDescent="0.25">
      <c r="B23" s="10"/>
      <c r="C23" s="10"/>
      <c r="D23" s="11" t="s">
        <v>54</v>
      </c>
      <c r="E23" s="12">
        <v>1</v>
      </c>
      <c r="F23" s="12" t="s">
        <v>55</v>
      </c>
      <c r="G23" s="12">
        <v>1.2E-2</v>
      </c>
      <c r="H23" s="12"/>
      <c r="I23" s="12"/>
      <c r="J23" s="13"/>
      <c r="K23" s="8"/>
      <c r="L23" s="14" t="s">
        <v>56</v>
      </c>
    </row>
    <row r="24" spans="2:12" ht="50" x14ac:dyDescent="0.25">
      <c r="B24" s="19">
        <v>4</v>
      </c>
      <c r="C24" s="19" t="s">
        <v>57</v>
      </c>
      <c r="D24" s="20" t="s">
        <v>58</v>
      </c>
      <c r="E24" s="12">
        <v>1</v>
      </c>
      <c r="F24" s="12" t="s">
        <v>59</v>
      </c>
      <c r="G24" s="12">
        <v>12</v>
      </c>
      <c r="H24" s="12"/>
      <c r="I24" s="12"/>
      <c r="J24" s="13"/>
      <c r="K24" s="8"/>
      <c r="L24" s="14" t="s">
        <v>60</v>
      </c>
    </row>
    <row r="25" spans="2:12" ht="50" x14ac:dyDescent="0.25">
      <c r="B25" s="19"/>
      <c r="C25" s="19"/>
      <c r="D25" s="20" t="s">
        <v>61</v>
      </c>
      <c r="E25" s="12">
        <v>1</v>
      </c>
      <c r="F25" s="12" t="s">
        <v>62</v>
      </c>
      <c r="G25" s="12">
        <v>4</v>
      </c>
      <c r="H25" s="12"/>
      <c r="I25" s="21"/>
      <c r="J25" s="13"/>
      <c r="K25" s="8"/>
      <c r="L25" s="14" t="s">
        <v>63</v>
      </c>
    </row>
    <row r="26" spans="2:12" ht="50" x14ac:dyDescent="0.25">
      <c r="B26" s="19"/>
      <c r="C26" s="19"/>
      <c r="D26" s="20" t="s">
        <v>64</v>
      </c>
      <c r="E26" s="12">
        <v>1</v>
      </c>
      <c r="F26" s="12" t="s">
        <v>62</v>
      </c>
      <c r="G26" s="12">
        <v>3</v>
      </c>
      <c r="H26" s="12"/>
      <c r="I26" s="21"/>
      <c r="J26" s="13"/>
      <c r="K26" s="8"/>
      <c r="L26" s="14" t="s">
        <v>65</v>
      </c>
    </row>
    <row r="27" spans="2:12" ht="26" x14ac:dyDescent="0.25">
      <c r="B27" s="22"/>
      <c r="C27" s="22"/>
      <c r="D27" s="22"/>
      <c r="E27" s="22"/>
      <c r="F27" s="22"/>
      <c r="G27" s="22"/>
      <c r="H27" s="22"/>
      <c r="I27" s="22"/>
      <c r="J27" s="23" t="s">
        <v>66</v>
      </c>
      <c r="K27" s="23">
        <f>SUM(K1:K25)</f>
        <v>0</v>
      </c>
      <c r="L27" s="14"/>
    </row>
    <row r="28" spans="2:12" ht="13" x14ac:dyDescent="0.25">
      <c r="B28" s="16" t="s">
        <v>67</v>
      </c>
      <c r="C28" s="17"/>
      <c r="D28" s="17"/>
      <c r="E28" s="17"/>
      <c r="F28" s="17"/>
      <c r="G28" s="17"/>
      <c r="H28" s="17"/>
      <c r="I28" s="17"/>
      <c r="J28" s="17"/>
      <c r="K28" s="17"/>
      <c r="L28" s="18"/>
    </row>
    <row r="29" spans="2:12" ht="25" x14ac:dyDescent="0.25">
      <c r="B29" s="12">
        <v>1</v>
      </c>
      <c r="C29" s="15" t="s">
        <v>68</v>
      </c>
      <c r="D29" s="11" t="s">
        <v>69</v>
      </c>
      <c r="E29" s="12">
        <v>1</v>
      </c>
      <c r="F29" s="12" t="s">
        <v>70</v>
      </c>
      <c r="G29" s="12">
        <v>20</v>
      </c>
      <c r="H29" s="12"/>
      <c r="I29" s="12"/>
      <c r="J29" s="13"/>
      <c r="K29" s="13"/>
      <c r="L29" s="14" t="s">
        <v>72</v>
      </c>
    </row>
    <row r="30" spans="2:12" ht="25" x14ac:dyDescent="0.25">
      <c r="B30" s="12">
        <v>2</v>
      </c>
      <c r="C30" s="10"/>
      <c r="D30" s="11" t="s">
        <v>73</v>
      </c>
      <c r="E30" s="12">
        <v>1</v>
      </c>
      <c r="F30" s="12" t="s">
        <v>70</v>
      </c>
      <c r="G30" s="12" t="s">
        <v>74</v>
      </c>
      <c r="H30" s="12"/>
      <c r="I30" s="12"/>
      <c r="J30" s="13"/>
      <c r="K30" s="13"/>
      <c r="L30" s="14" t="s">
        <v>75</v>
      </c>
    </row>
    <row r="31" spans="2:12" ht="25" x14ac:dyDescent="0.25">
      <c r="B31" s="12"/>
      <c r="C31" s="15" t="s">
        <v>76</v>
      </c>
      <c r="D31" s="11" t="s">
        <v>77</v>
      </c>
      <c r="E31" s="12">
        <v>1</v>
      </c>
      <c r="F31" s="12" t="s">
        <v>78</v>
      </c>
      <c r="G31" s="12">
        <v>12</v>
      </c>
      <c r="H31" s="12"/>
      <c r="I31" s="12"/>
      <c r="J31" s="13"/>
      <c r="K31" s="8"/>
      <c r="L31" s="14"/>
    </row>
    <row r="32" spans="2:12" ht="25" x14ac:dyDescent="0.25">
      <c r="B32" s="12"/>
      <c r="C32" s="10"/>
      <c r="D32" s="11" t="s">
        <v>79</v>
      </c>
      <c r="E32" s="12">
        <v>1</v>
      </c>
      <c r="F32" s="12" t="s">
        <v>78</v>
      </c>
      <c r="G32" s="12">
        <v>12</v>
      </c>
      <c r="H32" s="12"/>
      <c r="I32" s="12"/>
      <c r="J32" s="13"/>
      <c r="K32" s="8"/>
      <c r="L32" s="14"/>
    </row>
    <row r="33" spans="2:12" x14ac:dyDescent="0.25">
      <c r="B33" s="12"/>
      <c r="C33" s="12"/>
      <c r="D33" s="20"/>
      <c r="E33" s="12"/>
      <c r="F33" s="12"/>
      <c r="G33" s="12"/>
      <c r="H33" s="12"/>
      <c r="I33" s="12"/>
      <c r="J33" s="13"/>
      <c r="K33" s="12"/>
      <c r="L33" s="14"/>
    </row>
    <row r="34" spans="2:12" ht="26" x14ac:dyDescent="0.25">
      <c r="B34" s="22"/>
      <c r="C34" s="22"/>
      <c r="D34" s="22"/>
      <c r="E34" s="22"/>
      <c r="F34" s="22"/>
      <c r="G34" s="22"/>
      <c r="H34" s="22"/>
      <c r="I34" s="22"/>
      <c r="J34" s="23" t="s">
        <v>66</v>
      </c>
      <c r="K34" s="23">
        <f>SUM(K29:K32)</f>
        <v>0</v>
      </c>
      <c r="L34" s="14"/>
    </row>
    <row r="38" spans="2:12" x14ac:dyDescent="0.25">
      <c r="B38" s="1" t="s">
        <v>80</v>
      </c>
      <c r="C38" s="1"/>
      <c r="D38" s="1"/>
      <c r="E38" s="1"/>
      <c r="F38" s="1"/>
      <c r="G38" s="1"/>
      <c r="H38" s="1"/>
      <c r="I38" s="1"/>
      <c r="J38" s="1"/>
      <c r="K38" s="1"/>
      <c r="L38" s="1"/>
    </row>
    <row r="39" spans="2:12" x14ac:dyDescent="0.25">
      <c r="B39" s="1"/>
      <c r="C39" s="1"/>
      <c r="D39" s="1"/>
      <c r="E39" s="1"/>
      <c r="F39" s="1"/>
      <c r="G39" s="1"/>
      <c r="H39" s="1"/>
      <c r="I39" s="1"/>
      <c r="J39" s="1"/>
      <c r="K39" s="1"/>
      <c r="L39" s="1"/>
    </row>
    <row r="40" spans="2:12" ht="39" x14ac:dyDescent="0.25">
      <c r="B40" s="3" t="s">
        <v>1</v>
      </c>
      <c r="C40" s="3" t="s">
        <v>2</v>
      </c>
      <c r="D40" s="3" t="s">
        <v>3</v>
      </c>
      <c r="E40" s="3" t="s">
        <v>4</v>
      </c>
      <c r="F40" s="3" t="s">
        <v>5</v>
      </c>
      <c r="G40" s="3" t="s">
        <v>6</v>
      </c>
      <c r="H40" s="3" t="s">
        <v>81</v>
      </c>
      <c r="I40" s="3" t="s">
        <v>82</v>
      </c>
      <c r="J40" s="3" t="s">
        <v>9</v>
      </c>
      <c r="K40" s="3" t="s">
        <v>83</v>
      </c>
      <c r="L40" s="3" t="s">
        <v>11</v>
      </c>
    </row>
    <row r="41" spans="2:12" ht="13" x14ac:dyDescent="0.25">
      <c r="B41" s="4" t="s">
        <v>12</v>
      </c>
      <c r="C41" s="4"/>
      <c r="D41" s="4"/>
      <c r="E41" s="4"/>
      <c r="F41" s="4"/>
      <c r="G41" s="4"/>
      <c r="H41" s="4"/>
      <c r="I41" s="4"/>
      <c r="J41" s="4"/>
      <c r="K41" s="4"/>
      <c r="L41" s="4"/>
    </row>
    <row r="42" spans="2:12" ht="37.5" x14ac:dyDescent="0.25">
      <c r="B42" s="12">
        <v>1</v>
      </c>
      <c r="C42" s="19" t="s">
        <v>84</v>
      </c>
      <c r="D42" s="11" t="s">
        <v>85</v>
      </c>
      <c r="E42" s="12">
        <v>1</v>
      </c>
      <c r="F42" s="12" t="s">
        <v>86</v>
      </c>
      <c r="G42" s="12">
        <v>3</v>
      </c>
      <c r="H42" s="12"/>
      <c r="I42" s="12"/>
      <c r="J42" s="13"/>
      <c r="K42" s="13"/>
      <c r="L42" s="14" t="s">
        <v>87</v>
      </c>
    </row>
    <row r="43" spans="2:12" ht="37.5" x14ac:dyDescent="0.25">
      <c r="B43" s="12">
        <v>2</v>
      </c>
      <c r="C43" s="19"/>
      <c r="D43" s="11" t="s">
        <v>88</v>
      </c>
      <c r="E43" s="12">
        <v>1</v>
      </c>
      <c r="F43" s="12" t="s">
        <v>89</v>
      </c>
      <c r="G43" s="12">
        <v>1</v>
      </c>
      <c r="H43" s="12"/>
      <c r="I43" s="12"/>
      <c r="J43" s="13"/>
      <c r="K43" s="13"/>
      <c r="L43" s="14" t="s">
        <v>87</v>
      </c>
    </row>
    <row r="44" spans="2:12" ht="37.5" x14ac:dyDescent="0.25">
      <c r="B44" s="12">
        <v>3</v>
      </c>
      <c r="C44" s="19"/>
      <c r="D44" s="20" t="s">
        <v>90</v>
      </c>
      <c r="E44" s="12">
        <v>1</v>
      </c>
      <c r="F44" s="12" t="s">
        <v>91</v>
      </c>
      <c r="G44" s="12">
        <v>10</v>
      </c>
      <c r="H44" s="12"/>
      <c r="I44" s="12"/>
      <c r="J44" s="13"/>
      <c r="K44" s="13"/>
      <c r="L44" s="14" t="s">
        <v>87</v>
      </c>
    </row>
    <row r="45" spans="2:12" ht="37.5" x14ac:dyDescent="0.25">
      <c r="B45" s="12">
        <v>4</v>
      </c>
      <c r="C45" s="19"/>
      <c r="D45" s="20" t="s">
        <v>92</v>
      </c>
      <c r="E45" s="12">
        <v>1</v>
      </c>
      <c r="F45" s="12" t="s">
        <v>89</v>
      </c>
      <c r="G45" s="12">
        <v>3.5</v>
      </c>
      <c r="H45" s="12"/>
      <c r="I45" s="12"/>
      <c r="J45" s="13"/>
      <c r="K45" s="13"/>
      <c r="L45" s="14" t="s">
        <v>87</v>
      </c>
    </row>
    <row r="46" spans="2:12" ht="25.5" x14ac:dyDescent="0.25">
      <c r="B46" s="19">
        <v>5</v>
      </c>
      <c r="C46" s="19" t="s">
        <v>93</v>
      </c>
      <c r="D46" s="11" t="s">
        <v>94</v>
      </c>
      <c r="E46" s="12">
        <v>1</v>
      </c>
      <c r="F46" s="12" t="s">
        <v>23</v>
      </c>
      <c r="G46" s="12">
        <v>14</v>
      </c>
      <c r="H46" s="12"/>
      <c r="I46" s="12"/>
      <c r="J46" s="13"/>
      <c r="K46" s="13"/>
      <c r="L46" s="14" t="s">
        <v>95</v>
      </c>
    </row>
    <row r="47" spans="2:12" ht="25.5" x14ac:dyDescent="0.25">
      <c r="B47" s="19"/>
      <c r="C47" s="19"/>
      <c r="D47" s="11" t="s">
        <v>96</v>
      </c>
      <c r="E47" s="12">
        <v>1</v>
      </c>
      <c r="F47" s="12" t="s">
        <v>23</v>
      </c>
      <c r="G47" s="12" t="s">
        <v>74</v>
      </c>
      <c r="H47" s="12"/>
      <c r="I47" s="12"/>
      <c r="J47" s="13"/>
      <c r="K47" s="13"/>
      <c r="L47" s="14" t="s">
        <v>95</v>
      </c>
    </row>
    <row r="48" spans="2:12" ht="25.5" x14ac:dyDescent="0.25">
      <c r="B48" s="19">
        <v>6</v>
      </c>
      <c r="C48" s="19" t="s">
        <v>97</v>
      </c>
      <c r="D48" s="11" t="s">
        <v>98</v>
      </c>
      <c r="E48" s="12">
        <v>1</v>
      </c>
      <c r="F48" s="12" t="s">
        <v>99</v>
      </c>
      <c r="G48" s="12">
        <v>15</v>
      </c>
      <c r="H48" s="12"/>
      <c r="I48" s="12"/>
      <c r="J48" s="13"/>
      <c r="K48" s="13"/>
      <c r="L48" s="14" t="s">
        <v>100</v>
      </c>
    </row>
    <row r="49" spans="2:12" ht="25.5" x14ac:dyDescent="0.25">
      <c r="B49" s="19"/>
      <c r="C49" s="19"/>
      <c r="D49" s="11" t="s">
        <v>101</v>
      </c>
      <c r="E49" s="12">
        <v>1</v>
      </c>
      <c r="F49" s="12" t="s">
        <v>99</v>
      </c>
      <c r="G49" s="12" t="s">
        <v>74</v>
      </c>
      <c r="H49" s="12"/>
      <c r="I49" s="12"/>
      <c r="J49" s="13"/>
      <c r="K49" s="12"/>
      <c r="L49" s="14" t="s">
        <v>100</v>
      </c>
    </row>
    <row r="50" spans="2:12" ht="25.5" x14ac:dyDescent="0.25">
      <c r="B50" s="19"/>
      <c r="C50" s="19"/>
      <c r="D50" s="11" t="s">
        <v>102</v>
      </c>
      <c r="E50" s="12">
        <v>1</v>
      </c>
      <c r="F50" s="12" t="s">
        <v>99</v>
      </c>
      <c r="G50" s="12">
        <v>5</v>
      </c>
      <c r="H50" s="12"/>
      <c r="I50" s="12"/>
      <c r="J50" s="13"/>
      <c r="K50" s="13"/>
      <c r="L50" s="14" t="s">
        <v>100</v>
      </c>
    </row>
    <row r="51" spans="2:12" ht="25.5" x14ac:dyDescent="0.25">
      <c r="B51" s="19"/>
      <c r="C51" s="19"/>
      <c r="D51" s="11" t="s">
        <v>103</v>
      </c>
      <c r="E51" s="12">
        <v>1</v>
      </c>
      <c r="F51" s="12" t="s">
        <v>99</v>
      </c>
      <c r="G51" s="12" t="s">
        <v>74</v>
      </c>
      <c r="H51" s="12"/>
      <c r="I51" s="12"/>
      <c r="J51" s="13"/>
      <c r="K51" s="12"/>
      <c r="L51" s="14" t="s">
        <v>100</v>
      </c>
    </row>
    <row r="52" spans="2:12" ht="13" x14ac:dyDescent="0.25">
      <c r="B52" s="4" t="s">
        <v>104</v>
      </c>
      <c r="C52" s="4"/>
      <c r="D52" s="4"/>
      <c r="E52" s="4"/>
      <c r="F52" s="4"/>
      <c r="G52" s="4"/>
      <c r="H52" s="4"/>
      <c r="I52" s="4"/>
      <c r="J52" s="4"/>
      <c r="K52" s="4"/>
      <c r="L52" s="4"/>
    </row>
    <row r="53" spans="2:12" ht="37.5" x14ac:dyDescent="0.25">
      <c r="B53" s="15">
        <v>1</v>
      </c>
      <c r="C53" s="15" t="s">
        <v>37</v>
      </c>
      <c r="D53" s="11" t="s">
        <v>105</v>
      </c>
      <c r="E53" s="12">
        <v>1</v>
      </c>
      <c r="F53" s="12" t="s">
        <v>39</v>
      </c>
      <c r="G53" s="12">
        <v>12</v>
      </c>
      <c r="H53" s="12"/>
      <c r="I53" s="12"/>
      <c r="J53" s="13"/>
      <c r="K53" s="13"/>
      <c r="L53" s="14" t="s">
        <v>40</v>
      </c>
    </row>
    <row r="54" spans="2:12" ht="13" x14ac:dyDescent="0.25">
      <c r="B54" s="10"/>
      <c r="C54" s="10"/>
      <c r="D54" s="11" t="s">
        <v>106</v>
      </c>
      <c r="E54" s="12">
        <v>1</v>
      </c>
      <c r="F54" s="12" t="s">
        <v>42</v>
      </c>
      <c r="G54" s="12">
        <v>0.5</v>
      </c>
      <c r="H54" s="12"/>
      <c r="I54" s="12"/>
      <c r="J54" s="13"/>
      <c r="K54" s="13"/>
      <c r="L54" s="14" t="s">
        <v>43</v>
      </c>
    </row>
    <row r="55" spans="2:12" ht="37.5" x14ac:dyDescent="0.25">
      <c r="B55" s="15">
        <v>2</v>
      </c>
      <c r="C55" s="15" t="s">
        <v>107</v>
      </c>
      <c r="D55" s="11" t="s">
        <v>108</v>
      </c>
      <c r="E55" s="12">
        <v>1</v>
      </c>
      <c r="F55" s="12" t="s">
        <v>46</v>
      </c>
      <c r="G55" s="12">
        <v>30</v>
      </c>
      <c r="H55" s="12"/>
      <c r="I55" s="12"/>
      <c r="J55" s="13"/>
      <c r="K55" s="13"/>
      <c r="L55" s="14" t="s">
        <v>109</v>
      </c>
    </row>
    <row r="56" spans="2:12" ht="37.5" x14ac:dyDescent="0.25">
      <c r="B56" s="5"/>
      <c r="C56" s="5"/>
      <c r="D56" s="11" t="s">
        <v>110</v>
      </c>
      <c r="E56" s="12">
        <v>1</v>
      </c>
      <c r="F56" s="12" t="s">
        <v>46</v>
      </c>
      <c r="G56" s="12">
        <v>45</v>
      </c>
      <c r="H56" s="12"/>
      <c r="I56" s="12"/>
      <c r="J56" s="13"/>
      <c r="K56" s="13"/>
      <c r="L56" s="14" t="s">
        <v>109</v>
      </c>
    </row>
    <row r="57" spans="2:12" ht="37.5" x14ac:dyDescent="0.25">
      <c r="B57" s="10"/>
      <c r="C57" s="10"/>
      <c r="D57" s="11" t="s">
        <v>111</v>
      </c>
      <c r="E57" s="12">
        <v>1</v>
      </c>
      <c r="F57" s="12" t="s">
        <v>46</v>
      </c>
      <c r="G57" s="12">
        <v>80</v>
      </c>
      <c r="H57" s="12"/>
      <c r="I57" s="12"/>
      <c r="J57" s="13"/>
      <c r="K57" s="13"/>
      <c r="L57" s="14" t="s">
        <v>109</v>
      </c>
    </row>
    <row r="58" spans="2:12" ht="25" x14ac:dyDescent="0.25">
      <c r="B58" s="15">
        <v>3</v>
      </c>
      <c r="C58" s="15" t="s">
        <v>112</v>
      </c>
      <c r="D58" s="11" t="s">
        <v>113</v>
      </c>
      <c r="E58" s="12">
        <v>1</v>
      </c>
      <c r="F58" s="12" t="s">
        <v>52</v>
      </c>
      <c r="G58" s="12">
        <v>12</v>
      </c>
      <c r="H58" s="12"/>
      <c r="I58" s="12"/>
      <c r="J58" s="13"/>
      <c r="K58" s="13"/>
      <c r="L58" s="14" t="s">
        <v>53</v>
      </c>
    </row>
    <row r="59" spans="2:12" ht="37.5" x14ac:dyDescent="0.25">
      <c r="B59" s="10"/>
      <c r="C59" s="10"/>
      <c r="D59" s="11" t="s">
        <v>114</v>
      </c>
      <c r="E59" s="12">
        <v>1</v>
      </c>
      <c r="F59" s="12" t="s">
        <v>55</v>
      </c>
      <c r="G59" s="12">
        <v>1.2E-2</v>
      </c>
      <c r="H59" s="12"/>
      <c r="I59" s="12"/>
      <c r="J59" s="13"/>
      <c r="K59" s="13"/>
      <c r="L59" s="14" t="s">
        <v>56</v>
      </c>
    </row>
    <row r="60" spans="2:12" ht="26" x14ac:dyDescent="0.25">
      <c r="B60" s="15">
        <v>4</v>
      </c>
      <c r="C60" s="15" t="s">
        <v>57</v>
      </c>
      <c r="D60" s="20" t="s">
        <v>115</v>
      </c>
      <c r="E60" s="12">
        <v>1</v>
      </c>
      <c r="F60" s="12" t="s">
        <v>116</v>
      </c>
      <c r="G60" s="12">
        <v>40</v>
      </c>
      <c r="H60" s="12"/>
      <c r="I60" s="12"/>
      <c r="J60" s="13"/>
      <c r="K60" s="25"/>
      <c r="L60" s="14" t="s">
        <v>117</v>
      </c>
    </row>
    <row r="61" spans="2:12" ht="25.5" x14ac:dyDescent="0.25">
      <c r="B61" s="5"/>
      <c r="C61" s="10"/>
      <c r="D61" s="20" t="s">
        <v>118</v>
      </c>
      <c r="E61" s="12">
        <v>1</v>
      </c>
      <c r="F61" s="12" t="s">
        <v>62</v>
      </c>
      <c r="G61" s="12">
        <v>14</v>
      </c>
      <c r="H61" s="12"/>
      <c r="I61" s="12"/>
      <c r="J61" s="13"/>
      <c r="K61" s="25"/>
      <c r="L61" s="14" t="s">
        <v>119</v>
      </c>
    </row>
    <row r="62" spans="2:12" ht="100" x14ac:dyDescent="0.25">
      <c r="B62" s="15">
        <v>5</v>
      </c>
      <c r="C62" s="15" t="s">
        <v>120</v>
      </c>
      <c r="D62" s="20" t="s">
        <v>121</v>
      </c>
      <c r="E62" s="12">
        <v>1</v>
      </c>
      <c r="F62" s="12" t="s">
        <v>122</v>
      </c>
      <c r="G62" s="12">
        <v>100</v>
      </c>
      <c r="H62" s="12"/>
      <c r="I62" s="21"/>
      <c r="J62" s="13"/>
      <c r="K62" s="13"/>
      <c r="L62" s="14" t="s">
        <v>123</v>
      </c>
    </row>
    <row r="63" spans="2:12" ht="100" x14ac:dyDescent="0.25">
      <c r="B63" s="5"/>
      <c r="C63" s="5"/>
      <c r="D63" s="26" t="s">
        <v>124</v>
      </c>
      <c r="E63" s="27">
        <v>1</v>
      </c>
      <c r="F63" s="27" t="s">
        <v>122</v>
      </c>
      <c r="G63" s="27" t="s">
        <v>74</v>
      </c>
      <c r="H63" s="27"/>
      <c r="I63" s="28"/>
      <c r="J63" s="29"/>
      <c r="K63" s="29"/>
      <c r="L63" s="14" t="s">
        <v>123</v>
      </c>
    </row>
    <row r="64" spans="2:12" ht="13" x14ac:dyDescent="0.25">
      <c r="B64" s="4" t="s">
        <v>125</v>
      </c>
      <c r="C64" s="4"/>
      <c r="D64" s="4"/>
      <c r="E64" s="4"/>
      <c r="F64" s="4"/>
      <c r="G64" s="4"/>
      <c r="H64" s="4"/>
      <c r="I64" s="4"/>
      <c r="J64" s="4"/>
      <c r="K64" s="4"/>
      <c r="L64" s="4"/>
    </row>
    <row r="65" spans="2:12" x14ac:dyDescent="0.25">
      <c r="B65" s="30">
        <v>1</v>
      </c>
      <c r="C65" s="30" t="s">
        <v>126</v>
      </c>
      <c r="D65" s="26"/>
      <c r="E65" s="12">
        <v>1</v>
      </c>
      <c r="F65" s="12" t="s">
        <v>46</v>
      </c>
      <c r="G65" s="27">
        <v>30</v>
      </c>
      <c r="H65" s="27"/>
      <c r="I65" s="28"/>
      <c r="J65" s="29"/>
      <c r="K65" s="29"/>
      <c r="L65" s="14"/>
    </row>
    <row r="66" spans="2:12" x14ac:dyDescent="0.25">
      <c r="B66" s="30">
        <v>2</v>
      </c>
      <c r="C66" s="30" t="s">
        <v>127</v>
      </c>
      <c r="D66" s="26"/>
      <c r="E66" s="12">
        <v>1</v>
      </c>
      <c r="F66" s="12" t="s">
        <v>46</v>
      </c>
      <c r="G66" s="27">
        <v>15</v>
      </c>
      <c r="H66" s="27"/>
      <c r="I66" s="28"/>
      <c r="J66" s="29"/>
      <c r="K66" s="29"/>
      <c r="L66" s="14"/>
    </row>
    <row r="67" spans="2:12" ht="26" x14ac:dyDescent="0.25">
      <c r="B67" s="22"/>
      <c r="C67" s="22"/>
      <c r="D67" s="22"/>
      <c r="E67" s="22"/>
      <c r="F67" s="22"/>
      <c r="G67" s="22"/>
      <c r="H67" s="22"/>
      <c r="I67" s="22"/>
      <c r="J67" s="23" t="s">
        <v>66</v>
      </c>
      <c r="K67" s="23">
        <f>SUM(K42:K66)</f>
        <v>0</v>
      </c>
      <c r="L67" s="14"/>
    </row>
    <row r="68" spans="2:12" ht="13" x14ac:dyDescent="0.25">
      <c r="B68" s="4" t="s">
        <v>128</v>
      </c>
      <c r="C68" s="4"/>
      <c r="D68" s="4"/>
      <c r="E68" s="4"/>
      <c r="F68" s="4"/>
      <c r="G68" s="4"/>
      <c r="H68" s="4"/>
      <c r="I68" s="4"/>
      <c r="J68" s="4"/>
      <c r="K68" s="4"/>
      <c r="L68" s="4"/>
    </row>
    <row r="69" spans="2:12" ht="25" x14ac:dyDescent="0.25">
      <c r="B69" s="5">
        <v>1</v>
      </c>
      <c r="C69" s="5" t="s">
        <v>129</v>
      </c>
      <c r="D69" s="6" t="s">
        <v>130</v>
      </c>
      <c r="E69" s="7">
        <v>1</v>
      </c>
      <c r="F69" s="7" t="s">
        <v>131</v>
      </c>
      <c r="G69" s="7" t="s">
        <v>74</v>
      </c>
      <c r="H69" s="7" t="s">
        <v>71</v>
      </c>
      <c r="I69" s="7" t="s">
        <v>71</v>
      </c>
      <c r="J69" s="8">
        <v>0</v>
      </c>
      <c r="K69" s="8" t="s">
        <v>71</v>
      </c>
      <c r="L69" s="9"/>
    </row>
    <row r="70" spans="2:12" ht="25" x14ac:dyDescent="0.25">
      <c r="B70" s="10"/>
      <c r="C70" s="10"/>
      <c r="D70" s="6" t="s">
        <v>132</v>
      </c>
      <c r="E70" s="12">
        <v>1</v>
      </c>
      <c r="F70" s="7" t="s">
        <v>131</v>
      </c>
      <c r="G70" s="7" t="s">
        <v>74</v>
      </c>
      <c r="H70" s="12" t="s">
        <v>71</v>
      </c>
      <c r="I70" s="12" t="s">
        <v>71</v>
      </c>
      <c r="J70" s="13">
        <v>0</v>
      </c>
      <c r="K70" s="8" t="s">
        <v>71</v>
      </c>
      <c r="L70" s="14"/>
    </row>
    <row r="71" spans="2:12" ht="25" x14ac:dyDescent="0.25">
      <c r="B71" s="15">
        <v>2</v>
      </c>
      <c r="C71" s="15" t="s">
        <v>133</v>
      </c>
      <c r="D71" s="11" t="s">
        <v>134</v>
      </c>
      <c r="E71" s="12">
        <v>1</v>
      </c>
      <c r="F71" s="12" t="s">
        <v>135</v>
      </c>
      <c r="G71" s="12" t="s">
        <v>136</v>
      </c>
      <c r="H71" s="12" t="s">
        <v>71</v>
      </c>
      <c r="I71" s="12" t="s">
        <v>71</v>
      </c>
      <c r="J71" s="13">
        <v>0</v>
      </c>
      <c r="K71" s="8" t="s">
        <v>71</v>
      </c>
      <c r="L71" s="14"/>
    </row>
    <row r="72" spans="2:12" ht="25" x14ac:dyDescent="0.25">
      <c r="B72" s="5"/>
      <c r="C72" s="5"/>
      <c r="D72" s="11" t="s">
        <v>137</v>
      </c>
      <c r="E72" s="12">
        <v>1</v>
      </c>
      <c r="F72" s="12" t="s">
        <v>135</v>
      </c>
      <c r="G72" s="12" t="s">
        <v>136</v>
      </c>
      <c r="H72" s="12" t="s">
        <v>71</v>
      </c>
      <c r="I72" s="12" t="s">
        <v>71</v>
      </c>
      <c r="J72" s="13">
        <v>0</v>
      </c>
      <c r="K72" s="8" t="s">
        <v>71</v>
      </c>
      <c r="L72" s="14"/>
    </row>
    <row r="73" spans="2:12" ht="25" x14ac:dyDescent="0.25">
      <c r="B73" s="5"/>
      <c r="C73" s="5"/>
      <c r="D73" s="11" t="s">
        <v>134</v>
      </c>
      <c r="E73" s="12">
        <v>1</v>
      </c>
      <c r="F73" s="12" t="s">
        <v>138</v>
      </c>
      <c r="G73" s="12" t="s">
        <v>136</v>
      </c>
      <c r="H73" s="12" t="s">
        <v>71</v>
      </c>
      <c r="I73" s="12" t="s">
        <v>71</v>
      </c>
      <c r="J73" s="13">
        <v>0</v>
      </c>
      <c r="K73" s="8" t="s">
        <v>71</v>
      </c>
      <c r="L73" s="14"/>
    </row>
    <row r="74" spans="2:12" ht="25" x14ac:dyDescent="0.25">
      <c r="B74" s="10"/>
      <c r="C74" s="10"/>
      <c r="D74" s="11" t="s">
        <v>137</v>
      </c>
      <c r="E74" s="12">
        <v>1</v>
      </c>
      <c r="F74" s="12" t="s">
        <v>138</v>
      </c>
      <c r="G74" s="12" t="s">
        <v>136</v>
      </c>
      <c r="H74" s="12" t="s">
        <v>71</v>
      </c>
      <c r="I74" s="12" t="s">
        <v>71</v>
      </c>
      <c r="J74" s="13">
        <v>0</v>
      </c>
      <c r="K74" s="8" t="s">
        <v>71</v>
      </c>
      <c r="L74" s="14"/>
    </row>
    <row r="75" spans="2:12" x14ac:dyDescent="0.25">
      <c r="B75" s="12"/>
      <c r="C75" s="12"/>
      <c r="D75" s="11"/>
      <c r="E75" s="12"/>
      <c r="F75" s="12"/>
      <c r="G75" s="12"/>
      <c r="H75" s="12"/>
      <c r="I75" s="12"/>
      <c r="J75" s="13"/>
      <c r="K75" s="13"/>
      <c r="L75" s="14"/>
    </row>
    <row r="76" spans="2:12" ht="26" x14ac:dyDescent="0.25">
      <c r="B76" s="22"/>
      <c r="C76" s="22"/>
      <c r="D76" s="22"/>
      <c r="E76" s="22"/>
      <c r="F76" s="22"/>
      <c r="G76" s="22"/>
      <c r="H76" s="22"/>
      <c r="I76" s="22"/>
      <c r="J76" s="23" t="s">
        <v>66</v>
      </c>
      <c r="K76" s="23">
        <f>SUM(K69:K75)</f>
        <v>0</v>
      </c>
      <c r="L76" s="14"/>
    </row>
  </sheetData>
  <mergeCells count="47">
    <mergeCell ref="B71:B74"/>
    <mergeCell ref="C71:C74"/>
    <mergeCell ref="B62:B63"/>
    <mergeCell ref="C62:C63"/>
    <mergeCell ref="B64:L64"/>
    <mergeCell ref="B68:L68"/>
    <mergeCell ref="B69:B70"/>
    <mergeCell ref="C69:C70"/>
    <mergeCell ref="B55:B57"/>
    <mergeCell ref="C55:C57"/>
    <mergeCell ref="B58:B59"/>
    <mergeCell ref="C58:C59"/>
    <mergeCell ref="B60:B61"/>
    <mergeCell ref="C60:C61"/>
    <mergeCell ref="B46:B47"/>
    <mergeCell ref="C46:C47"/>
    <mergeCell ref="B48:B51"/>
    <mergeCell ref="C48:C51"/>
    <mergeCell ref="B52:L52"/>
    <mergeCell ref="B53:B54"/>
    <mergeCell ref="C53:C54"/>
    <mergeCell ref="B28:L28"/>
    <mergeCell ref="C29:C30"/>
    <mergeCell ref="C31:C32"/>
    <mergeCell ref="B38:L39"/>
    <mergeCell ref="B41:L41"/>
    <mergeCell ref="C42:C45"/>
    <mergeCell ref="B19:B21"/>
    <mergeCell ref="C19:C21"/>
    <mergeCell ref="B22:B23"/>
    <mergeCell ref="C22:C23"/>
    <mergeCell ref="B24:B26"/>
    <mergeCell ref="C24:C26"/>
    <mergeCell ref="B12:B13"/>
    <mergeCell ref="C12:C13"/>
    <mergeCell ref="B14:B15"/>
    <mergeCell ref="C14:C15"/>
    <mergeCell ref="B16:L16"/>
    <mergeCell ref="B17:B18"/>
    <mergeCell ref="C17:C18"/>
    <mergeCell ref="B3:L3"/>
    <mergeCell ref="B5:L5"/>
    <mergeCell ref="B6:B7"/>
    <mergeCell ref="C6:C7"/>
    <mergeCell ref="B8:B9"/>
    <mergeCell ref="C8:C11"/>
    <mergeCell ref="B10:B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Huawei Technologies Co.,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DALEL MAGHREBI</dc:creator>
  <cp:lastModifiedBy>DALEL MAGHREBI</cp:lastModifiedBy>
  <dcterms:created xsi:type="dcterms:W3CDTF">2026-01-22T06:38:04Z</dcterms:created>
  <dcterms:modified xsi:type="dcterms:W3CDTF">2026-01-22T06:39:52Z</dcterms:modified>
</cp:coreProperties>
</file>